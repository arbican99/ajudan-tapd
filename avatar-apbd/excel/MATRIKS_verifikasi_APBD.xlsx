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KAD\CPNS\LATSAR\Zoom\Laporan aktualisasi\FILE\KEG AKTUALISASI\BAHAN APLIKASI\"/>
    </mc:Choice>
  </mc:AlternateContent>
  <xr:revisionPtr revIDLastSave="0" documentId="13_ncr:1_{D8B59D7E-6C7F-4CD8-A9D0-3E7EE1404A8A}" xr6:coauthVersionLast="47" xr6:coauthVersionMax="47" xr10:uidLastSave="{00000000-0000-0000-0000-000000000000}"/>
  <bookViews>
    <workbookView xWindow="-110" yWindow="-110" windowWidth="19420" windowHeight="10300" firstSheet="1" activeTab="1" xr2:uid="{97ABF089-D17C-42C5-BFFB-56A63EF9DE1C}"/>
  </bookViews>
  <sheets>
    <sheet name="MATRIKS 2026" sheetId="2" r:id="rId1"/>
    <sheet name="MATRIKS 2025" sheetId="3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5" i="3" l="1"/>
  <c r="H27" i="3"/>
  <c r="G17" i="3"/>
  <c r="G9" i="3"/>
  <c r="G45" i="2"/>
  <c r="H27" i="2"/>
  <c r="G17" i="2"/>
  <c r="G9" i="2"/>
</calcChain>
</file>

<file path=xl/sharedStrings.xml><?xml version="1.0" encoding="utf-8"?>
<sst xmlns="http://schemas.openxmlformats.org/spreadsheetml/2006/main" count="220" uniqueCount="75">
  <si>
    <t xml:space="preserve">MATRIKS </t>
  </si>
  <si>
    <t>NO</t>
  </si>
  <si>
    <t>SUB KEGIATAN</t>
  </si>
  <si>
    <t>Pengelolaan Pelayanan Kesehatan Ibu Hamil</t>
  </si>
  <si>
    <t>JENIS BELANJA</t>
  </si>
  <si>
    <t>Bahan-Bahan Bakar dan Pelumas</t>
  </si>
  <si>
    <t>JUMLAH</t>
  </si>
  <si>
    <t>Belanja Alat/Bahan untuk Kegiatan Kantor-Alat Tulis Kantor</t>
  </si>
  <si>
    <t>Belanja Alat/Bahan untuk Kegiatan Kantor- Kertas dan Cover</t>
  </si>
  <si>
    <t>Belanja Alat/Bahan untuk Kegiatan Kantor-Benda Pos</t>
  </si>
  <si>
    <t>Belanja Perjalanan Dinas Biasa</t>
  </si>
  <si>
    <t>Belanja Perjalanan Dinas Paket Meeting Dalam Kota</t>
  </si>
  <si>
    <t>SKPD</t>
  </si>
  <si>
    <t>Dinas Kesehatan</t>
  </si>
  <si>
    <t>PROGRAM</t>
  </si>
  <si>
    <t>KEGIATAN</t>
  </si>
  <si>
    <t>Penyediaan Layanan Kesehatan untuk UKM dan UKP Rujukan Tingkat Daerah Kabupaten/Kota</t>
  </si>
  <si>
    <t>Pengelolaan Pelayanan Kesehatan Balita</t>
  </si>
  <si>
    <t>Belanja Alat/Bahan untuk Kegiatan Kantor-Bahan Komputer Pos</t>
  </si>
  <si>
    <t>Total</t>
  </si>
  <si>
    <t>Dinas Pangan dan Perikanan</t>
  </si>
  <si>
    <t>Pengendalian Inflasi</t>
  </si>
  <si>
    <t>Pengembangan Kapasitas Pembudidaya Ikan Kecil</t>
  </si>
  <si>
    <t>Belanja Bahan-Bahan Bakar dan Pelumas</t>
  </si>
  <si>
    <t>Stunting &amp; Kemiskinan Ekstrem</t>
  </si>
  <si>
    <t xml:space="preserve">Total </t>
  </si>
  <si>
    <t>Program Sekolah Rakyat</t>
  </si>
  <si>
    <t>Tidak dianggarkan</t>
  </si>
  <si>
    <t>Penggunaan Produk Dalam Negeri (PDN) &amp; Produk UMK dalam Pengadaan Barang/Jasa</t>
  </si>
  <si>
    <t>BELANJA DAERAH UNTUK PRODUK DALAM NEGERI</t>
  </si>
  <si>
    <t>BELANJA BARANG DAN JASA</t>
  </si>
  <si>
    <t>PERSENTASE</t>
  </si>
  <si>
    <t>ALOKASI MINIMAL</t>
  </si>
  <si>
    <t>Fungsi Pendidikan</t>
  </si>
  <si>
    <t>Pemberian Pendampingan, Kemudahanan Akses Ilmu Pengetahuan, Teknologi dan Informasi,serta Penyelenggaraan Pendidikan dan Pelatihan</t>
  </si>
  <si>
    <t>Pengembangan Kapasitas Pembudi Daya Ikan Kecil</t>
  </si>
  <si>
    <t>Belanja Bahan Bahan Bakar dan Pelumas</t>
  </si>
  <si>
    <t>Belanja Infrastruktur Publik</t>
  </si>
  <si>
    <t>Mandatory Spending</t>
  </si>
  <si>
    <t>Penyediaan Sarana Usaha Perikanan Tangkap</t>
  </si>
  <si>
    <t>Belanja Bahan-Bahan Bakar dan 
Pelumas</t>
  </si>
  <si>
    <t xml:space="preserve">Belanja Alat/Bahan untuk Kegiatan Kantor-Alat Tulis Kantor </t>
  </si>
  <si>
    <t>Belanja Alat/Bahan untuk Kegiatan Kantor Bahan Komputer Pos</t>
  </si>
  <si>
    <t>Belanja pegawai diluar tunjangan guru dari TKD</t>
  </si>
  <si>
    <t>Alokasi Opsen PKB</t>
  </si>
  <si>
    <t>PDRD Earmarking</t>
  </si>
  <si>
    <t>Alokasi PBJT Tenaga Listrik</t>
  </si>
  <si>
    <t>Alokasi Pajak Rokok</t>
  </si>
  <si>
    <t>Program 3 Juta Rumah (RUTILAHU)</t>
  </si>
  <si>
    <t>SPM Bidang Perumahan Rakyat dan Kawasan Pemukiman</t>
  </si>
  <si>
    <t xml:space="preserve">Fasilitasi penyediaan rumah yang layak huni bagi masyarakat yang terkena relokasi program Pemerintah Daerah Kabupaten/Kota </t>
  </si>
  <si>
    <t>Inspektorat</t>
  </si>
  <si>
    <t>Anggaran pengawasan</t>
  </si>
  <si>
    <t>Alokasi Anggaran untuk Pengawasan</t>
  </si>
  <si>
    <t>BKPSDM</t>
  </si>
  <si>
    <t>Alokasi Anggaran untuk Pengembangan Kompetensi Penyelenggara Pemerintah Daerah</t>
  </si>
  <si>
    <t>Anggaran Pengembangan Kompetensi Penyelenggara Pemerintah Daerah</t>
  </si>
  <si>
    <t>Sekda</t>
  </si>
  <si>
    <t>Dana Operasional KDH/WKDH</t>
  </si>
  <si>
    <t>Pasal 9 ayat (2) huruf f Peraturan Pemerintah Nomor 109 Tahun 2000</t>
  </si>
  <si>
    <t xml:space="preserve">Alokasi </t>
  </si>
  <si>
    <t>Belanja Penerimaan Lainnya Kepala Daerah dan Wakil Kepala Daerah</t>
  </si>
  <si>
    <t>Belanja Perjalanan Dinas Biasa - Dalam Kota</t>
  </si>
  <si>
    <t>DITIADAKAN</t>
  </si>
  <si>
    <t>Program penggunaan kendaraan bermotor listrik berbasis baterai</t>
  </si>
  <si>
    <t>BELUM ADA</t>
  </si>
  <si>
    <t>REGULASI</t>
  </si>
  <si>
    <t>KET</t>
  </si>
  <si>
    <t xml:space="preserve">Proporsi belanja pendukung maksimal 20% </t>
  </si>
  <si>
    <t xml:space="preserve">PERMENDAGRI NO 14 TAHUN 2025 </t>
  </si>
  <si>
    <t>Harus dianggarkan</t>
  </si>
  <si>
    <t>Harus dianggarkan - Penyiapan lahan, perizinan, dan penyiapan guru serta tenaga pendidik sesuai dengan kewenangannya dengan berbasis Data Tunggal Sosial dan Ekonomi Nasional (DTSEN)</t>
  </si>
  <si>
    <t>MINIMAL</t>
  </si>
  <si>
    <t>Inpres Nomor 2 Tahun 2022</t>
  </si>
  <si>
    <t>MAKSIMAL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</si>
</sst>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1" xfId="0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4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vertical="center"/>
    </xf>
    <xf numFmtId="4" fontId="2" fillId="0" borderId="1" xfId="0" applyNumberFormat="1" applyFont="1" applyBorder="1"/>
    <xf numFmtId="10" fontId="2" fillId="0" borderId="1" xfId="2" applyNumberFormat="1" applyFont="1" applyBorder="1"/>
    <xf numFmtId="9" fontId="2" fillId="0" borderId="1" xfId="2" applyFont="1" applyBorder="1"/>
    <xf numFmtId="0" fontId="2" fillId="0" borderId="1" xfId="0" applyFont="1" applyBorder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/>
    </xf>
    <xf numFmtId="9" fontId="3" fillId="0" borderId="1" xfId="2" applyFont="1" applyFill="1" applyBorder="1" applyAlignment="1">
      <alignment horizontal="center"/>
    </xf>
    <xf numFmtId="0" fontId="3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center" vertical="center"/>
    </xf>
    <xf numFmtId="10" fontId="2" fillId="0" borderId="1" xfId="2" applyNumberFormat="1" applyFont="1" applyBorder="1" applyAlignment="1">
      <alignment horizontal="right"/>
    </xf>
    <xf numFmtId="10" fontId="2" fillId="0" borderId="1" xfId="0" applyNumberFormat="1" applyFont="1" applyBorder="1"/>
    <xf numFmtId="9" fontId="2" fillId="0" borderId="1" xfId="2" applyFont="1" applyBorder="1" applyAlignment="1">
      <alignment horizontal="center"/>
    </xf>
    <xf numFmtId="0" fontId="2" fillId="0" borderId="1" xfId="0" applyFont="1" applyBorder="1" applyAlignment="1">
      <alignment wrapText="1"/>
    </xf>
    <xf numFmtId="3" fontId="2" fillId="0" borderId="1" xfId="0" applyNumberFormat="1" applyFont="1" applyBorder="1"/>
    <xf numFmtId="9" fontId="2" fillId="0" borderId="1" xfId="0" applyNumberFormat="1" applyFont="1" applyBorder="1"/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/>
    <xf numFmtId="9" fontId="2" fillId="2" borderId="1" xfId="0" applyNumberFormat="1" applyFont="1" applyFill="1" applyBorder="1"/>
    <xf numFmtId="9" fontId="2" fillId="0" borderId="1" xfId="2" applyFont="1" applyFill="1" applyBorder="1"/>
    <xf numFmtId="3" fontId="2" fillId="2" borderId="1" xfId="0" applyNumberFormat="1" applyFont="1" applyFill="1" applyBorder="1"/>
    <xf numFmtId="10" fontId="2" fillId="2" borderId="1" xfId="0" applyNumberFormat="1" applyFont="1" applyFill="1" applyBorder="1"/>
    <xf numFmtId="9" fontId="2" fillId="2" borderId="1" xfId="2" applyFont="1" applyFill="1" applyBorder="1"/>
    <xf numFmtId="43" fontId="2" fillId="0" borderId="1" xfId="1" applyFont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9" fontId="2" fillId="0" borderId="0" xfId="2" applyFont="1"/>
    <xf numFmtId="0" fontId="2" fillId="0" borderId="2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66E23-1145-47A8-8909-F8DB2B3BA2C0}">
  <dimension ref="A2:K66"/>
  <sheetViews>
    <sheetView zoomScale="66" zoomScaleNormal="66" workbookViewId="0">
      <selection activeCell="I12" sqref="I12"/>
    </sheetView>
  </sheetViews>
  <sheetFormatPr defaultRowHeight="15.5" x14ac:dyDescent="0.35"/>
  <cols>
    <col min="1" max="1" width="5.54296875" style="42" customWidth="1"/>
    <col min="2" max="2" width="19.08984375" style="9" customWidth="1"/>
    <col min="3" max="3" width="28.90625" style="9" customWidth="1"/>
    <col min="4" max="4" width="27.7265625" style="9" hidden="1" customWidth="1"/>
    <col min="5" max="5" width="40.6328125" style="9" customWidth="1"/>
    <col min="6" max="6" width="46" style="9" customWidth="1"/>
    <col min="7" max="8" width="23.90625" style="9" customWidth="1"/>
    <col min="9" max="9" width="24.08984375" style="44" customWidth="1"/>
    <col min="10" max="10" width="30.81640625" style="9" customWidth="1"/>
    <col min="11" max="11" width="30.453125" style="9" customWidth="1"/>
    <col min="12" max="16384" width="8.7265625" style="9"/>
  </cols>
  <sheetData>
    <row r="2" spans="1:11" s="19" customFormat="1" ht="15" x14ac:dyDescent="0.3">
      <c r="A2" s="17" t="s">
        <v>1</v>
      </c>
      <c r="B2" s="17" t="s">
        <v>12</v>
      </c>
      <c r="C2" s="17" t="s">
        <v>60</v>
      </c>
      <c r="D2" s="17" t="s">
        <v>15</v>
      </c>
      <c r="E2" s="17" t="s">
        <v>2</v>
      </c>
      <c r="F2" s="17" t="s">
        <v>4</v>
      </c>
      <c r="G2" s="17" t="s">
        <v>6</v>
      </c>
      <c r="H2" s="17" t="s">
        <v>31</v>
      </c>
      <c r="I2" s="18" t="s">
        <v>32</v>
      </c>
      <c r="J2" s="17" t="s">
        <v>67</v>
      </c>
      <c r="K2" s="17" t="s">
        <v>66</v>
      </c>
    </row>
    <row r="3" spans="1:11" ht="17.5" customHeight="1" x14ac:dyDescent="0.35">
      <c r="A3" s="20">
        <v>1</v>
      </c>
      <c r="B3" s="21" t="s">
        <v>13</v>
      </c>
      <c r="C3" s="22" t="s">
        <v>24</v>
      </c>
      <c r="D3" s="22" t="s">
        <v>16</v>
      </c>
      <c r="E3" s="22" t="s">
        <v>3</v>
      </c>
      <c r="F3" s="21" t="s">
        <v>5</v>
      </c>
      <c r="G3" s="23">
        <v>4047500</v>
      </c>
      <c r="H3" s="15"/>
      <c r="I3" s="14"/>
      <c r="J3" s="15"/>
      <c r="K3" s="15"/>
    </row>
    <row r="4" spans="1:11" ht="31" x14ac:dyDescent="0.35">
      <c r="A4" s="20"/>
      <c r="B4" s="21"/>
      <c r="C4" s="21"/>
      <c r="D4" s="21"/>
      <c r="E4" s="21"/>
      <c r="F4" s="22" t="s">
        <v>7</v>
      </c>
      <c r="G4" s="23">
        <v>780000</v>
      </c>
      <c r="H4" s="15"/>
      <c r="I4" s="14"/>
      <c r="J4" s="15"/>
      <c r="K4" s="15"/>
    </row>
    <row r="5" spans="1:11" ht="31" x14ac:dyDescent="0.35">
      <c r="A5" s="20"/>
      <c r="B5" s="21"/>
      <c r="C5" s="21"/>
      <c r="D5" s="21"/>
      <c r="E5" s="21"/>
      <c r="F5" s="22" t="s">
        <v>8</v>
      </c>
      <c r="G5" s="23">
        <v>167500</v>
      </c>
      <c r="H5" s="15"/>
      <c r="I5" s="14"/>
      <c r="J5" s="15"/>
      <c r="K5" s="15"/>
    </row>
    <row r="6" spans="1:11" ht="31" x14ac:dyDescent="0.35">
      <c r="A6" s="20"/>
      <c r="B6" s="21"/>
      <c r="C6" s="21"/>
      <c r="D6" s="21"/>
      <c r="E6" s="21"/>
      <c r="F6" s="22" t="s">
        <v>9</v>
      </c>
      <c r="G6" s="23">
        <v>100000</v>
      </c>
      <c r="H6" s="15"/>
      <c r="I6" s="14"/>
      <c r="J6" s="15"/>
      <c r="K6" s="15"/>
    </row>
    <row r="7" spans="1:11" x14ac:dyDescent="0.35">
      <c r="A7" s="20"/>
      <c r="B7" s="21"/>
      <c r="C7" s="21"/>
      <c r="D7" s="21"/>
      <c r="E7" s="21"/>
      <c r="F7" s="21" t="s">
        <v>10</v>
      </c>
      <c r="G7" s="23">
        <v>2010000</v>
      </c>
      <c r="H7" s="15"/>
      <c r="I7" s="14"/>
      <c r="J7" s="15"/>
      <c r="K7" s="15"/>
    </row>
    <row r="8" spans="1:11" x14ac:dyDescent="0.35">
      <c r="A8" s="20"/>
      <c r="B8" s="21"/>
      <c r="C8" s="21"/>
      <c r="D8" s="21"/>
      <c r="E8" s="21"/>
      <c r="F8" s="21" t="s">
        <v>11</v>
      </c>
      <c r="G8" s="23">
        <v>16200000</v>
      </c>
      <c r="H8" s="15"/>
      <c r="I8" s="14"/>
      <c r="J8" s="15"/>
      <c r="K8" s="15"/>
    </row>
    <row r="9" spans="1:11" ht="31" x14ac:dyDescent="0.35">
      <c r="A9" s="20"/>
      <c r="B9" s="21"/>
      <c r="C9" s="21"/>
      <c r="D9" s="21"/>
      <c r="E9" s="21"/>
      <c r="F9" s="24" t="s">
        <v>19</v>
      </c>
      <c r="G9" s="23">
        <f>SUM(G3:G8)</f>
        <v>23305000</v>
      </c>
      <c r="H9" s="25">
        <v>1</v>
      </c>
      <c r="I9" s="14"/>
      <c r="J9" s="10" t="s">
        <v>68</v>
      </c>
      <c r="K9" s="15"/>
    </row>
    <row r="10" spans="1:11" x14ac:dyDescent="0.35">
      <c r="A10" s="20"/>
      <c r="B10" s="21"/>
      <c r="C10" s="21"/>
      <c r="D10" s="21"/>
      <c r="E10" s="21"/>
      <c r="F10" s="24"/>
      <c r="G10" s="15"/>
      <c r="H10" s="15"/>
      <c r="I10" s="14"/>
      <c r="J10" s="15"/>
      <c r="K10" s="15"/>
    </row>
    <row r="11" spans="1:11" x14ac:dyDescent="0.35">
      <c r="A11" s="20">
        <v>2</v>
      </c>
      <c r="B11" s="21" t="s">
        <v>13</v>
      </c>
      <c r="C11" s="22" t="s">
        <v>24</v>
      </c>
      <c r="D11" s="21"/>
      <c r="E11" s="22" t="s">
        <v>17</v>
      </c>
      <c r="F11" s="11" t="s">
        <v>5</v>
      </c>
      <c r="G11" s="12">
        <v>5523900</v>
      </c>
      <c r="H11" s="15"/>
      <c r="I11" s="14"/>
      <c r="J11" s="15"/>
      <c r="K11" s="15"/>
    </row>
    <row r="12" spans="1:11" ht="31" x14ac:dyDescent="0.35">
      <c r="A12" s="20"/>
      <c r="B12" s="21"/>
      <c r="C12" s="21"/>
      <c r="D12" s="21"/>
      <c r="E12" s="21"/>
      <c r="F12" s="16" t="s">
        <v>7</v>
      </c>
      <c r="G12" s="12">
        <v>1800600</v>
      </c>
      <c r="H12" s="15"/>
      <c r="I12" s="14"/>
      <c r="J12" s="15"/>
      <c r="K12" s="15"/>
    </row>
    <row r="13" spans="1:11" ht="31" x14ac:dyDescent="0.35">
      <c r="A13" s="20"/>
      <c r="B13" s="21"/>
      <c r="C13" s="21"/>
      <c r="D13" s="21"/>
      <c r="E13" s="21"/>
      <c r="F13" s="16" t="s">
        <v>8</v>
      </c>
      <c r="G13" s="12">
        <v>303000</v>
      </c>
      <c r="H13" s="15"/>
      <c r="I13" s="14"/>
      <c r="J13" s="15"/>
      <c r="K13" s="15"/>
    </row>
    <row r="14" spans="1:11" ht="31" x14ac:dyDescent="0.35">
      <c r="A14" s="20"/>
      <c r="B14" s="21"/>
      <c r="C14" s="21"/>
      <c r="D14" s="21"/>
      <c r="E14" s="21"/>
      <c r="F14" s="16" t="s">
        <v>18</v>
      </c>
      <c r="G14" s="12">
        <v>480000</v>
      </c>
      <c r="H14" s="15"/>
      <c r="I14" s="14"/>
      <c r="J14" s="15"/>
      <c r="K14" s="15"/>
    </row>
    <row r="15" spans="1:11" x14ac:dyDescent="0.35">
      <c r="A15" s="20"/>
      <c r="B15" s="21"/>
      <c r="C15" s="21"/>
      <c r="D15" s="21"/>
      <c r="E15" s="21"/>
      <c r="F15" s="11" t="s">
        <v>10</v>
      </c>
      <c r="G15" s="12">
        <v>4032500</v>
      </c>
      <c r="H15" s="15"/>
      <c r="I15" s="14"/>
      <c r="J15" s="15"/>
      <c r="K15" s="15"/>
    </row>
    <row r="16" spans="1:11" x14ac:dyDescent="0.35">
      <c r="A16" s="20"/>
      <c r="B16" s="21"/>
      <c r="C16" s="21"/>
      <c r="D16" s="21"/>
      <c r="E16" s="21"/>
      <c r="F16" s="11" t="s">
        <v>11</v>
      </c>
      <c r="G16" s="12">
        <v>16200000</v>
      </c>
      <c r="H16" s="15"/>
      <c r="I16" s="14"/>
      <c r="J16" s="15"/>
      <c r="K16" s="15"/>
    </row>
    <row r="17" spans="1:11" ht="31" x14ac:dyDescent="0.35">
      <c r="A17" s="24"/>
      <c r="B17" s="21"/>
      <c r="C17" s="21"/>
      <c r="D17" s="21"/>
      <c r="E17" s="21"/>
      <c r="F17" s="24" t="s">
        <v>19</v>
      </c>
      <c r="G17" s="12">
        <f>SUM(G11:G16)</f>
        <v>28340000</v>
      </c>
      <c r="H17" s="25">
        <v>1</v>
      </c>
      <c r="I17" s="14"/>
      <c r="J17" s="10" t="s">
        <v>68</v>
      </c>
      <c r="K17" s="15"/>
    </row>
    <row r="18" spans="1:11" x14ac:dyDescent="0.35">
      <c r="A18" s="24"/>
      <c r="B18" s="21"/>
      <c r="C18" s="21"/>
      <c r="D18" s="21"/>
      <c r="E18" s="21"/>
      <c r="F18" s="24"/>
      <c r="G18" s="15"/>
      <c r="H18" s="15"/>
      <c r="I18" s="14"/>
      <c r="J18" s="15"/>
      <c r="K18" s="15"/>
    </row>
    <row r="19" spans="1:11" ht="31" x14ac:dyDescent="0.35">
      <c r="A19" s="24">
        <v>3</v>
      </c>
      <c r="B19" s="22" t="s">
        <v>20</v>
      </c>
      <c r="C19" s="21" t="s">
        <v>21</v>
      </c>
      <c r="D19" s="21"/>
      <c r="E19" s="22" t="s">
        <v>22</v>
      </c>
      <c r="F19" s="11" t="s">
        <v>23</v>
      </c>
      <c r="G19" s="12">
        <v>1920000</v>
      </c>
      <c r="H19" s="13">
        <v>0.29149999999999998</v>
      </c>
      <c r="I19" s="14"/>
      <c r="J19" s="45" t="s">
        <v>68</v>
      </c>
      <c r="K19" s="15"/>
    </row>
    <row r="20" spans="1:11" x14ac:dyDescent="0.35">
      <c r="A20" s="24"/>
      <c r="B20" s="21"/>
      <c r="C20" s="21"/>
      <c r="D20" s="21"/>
      <c r="E20" s="21"/>
      <c r="F20" s="11" t="s">
        <v>10</v>
      </c>
      <c r="G20" s="12">
        <v>1270000</v>
      </c>
      <c r="H20" s="26">
        <v>0.15970000000000001</v>
      </c>
      <c r="I20" s="14"/>
      <c r="J20" s="46"/>
      <c r="K20" s="15"/>
    </row>
    <row r="21" spans="1:11" x14ac:dyDescent="0.35">
      <c r="A21" s="24"/>
      <c r="B21" s="21"/>
      <c r="C21" s="21"/>
      <c r="D21" s="21"/>
      <c r="E21" s="21"/>
      <c r="F21" s="24" t="s">
        <v>25</v>
      </c>
      <c r="G21" s="12">
        <v>3190000</v>
      </c>
      <c r="H21" s="15"/>
      <c r="I21" s="14"/>
      <c r="J21" s="15"/>
      <c r="K21" s="15"/>
    </row>
    <row r="22" spans="1:11" x14ac:dyDescent="0.35">
      <c r="A22" s="24"/>
      <c r="B22" s="21"/>
      <c r="C22" s="21"/>
      <c r="D22" s="21"/>
      <c r="E22" s="21"/>
      <c r="F22" s="24"/>
      <c r="G22" s="27"/>
      <c r="H22" s="15"/>
      <c r="I22" s="14"/>
      <c r="J22" s="15"/>
      <c r="K22" s="15"/>
    </row>
    <row r="23" spans="1:11" ht="93" x14ac:dyDescent="0.35">
      <c r="A23" s="24">
        <v>4</v>
      </c>
      <c r="B23" s="21"/>
      <c r="C23" s="21" t="s">
        <v>26</v>
      </c>
      <c r="D23" s="21"/>
      <c r="E23" s="21"/>
      <c r="G23" s="24" t="s">
        <v>27</v>
      </c>
      <c r="H23" s="15"/>
      <c r="I23" s="28"/>
      <c r="J23" s="28" t="s">
        <v>71</v>
      </c>
      <c r="K23" s="16" t="s">
        <v>69</v>
      </c>
    </row>
    <row r="24" spans="1:11" x14ac:dyDescent="0.35">
      <c r="A24" s="24"/>
      <c r="B24" s="21"/>
      <c r="C24" s="21"/>
      <c r="D24" s="21"/>
      <c r="E24" s="21"/>
      <c r="F24" s="11"/>
      <c r="G24" s="24"/>
      <c r="H24" s="15"/>
      <c r="I24" s="14"/>
      <c r="J24" s="15"/>
      <c r="K24" s="11"/>
    </row>
    <row r="25" spans="1:11" ht="31" x14ac:dyDescent="0.35">
      <c r="A25" s="24">
        <v>5</v>
      </c>
      <c r="B25" s="21"/>
      <c r="C25" s="21" t="s">
        <v>48</v>
      </c>
      <c r="D25" s="21"/>
      <c r="E25" s="21"/>
      <c r="F25" s="11"/>
      <c r="G25" s="24" t="s">
        <v>27</v>
      </c>
      <c r="H25" s="15"/>
      <c r="I25" s="14"/>
      <c r="J25" s="15" t="s">
        <v>70</v>
      </c>
      <c r="K25" s="16" t="s">
        <v>69</v>
      </c>
    </row>
    <row r="26" spans="1:11" x14ac:dyDescent="0.35">
      <c r="A26" s="24"/>
      <c r="B26" s="21"/>
      <c r="C26" s="21"/>
      <c r="D26" s="21"/>
      <c r="E26" s="21"/>
      <c r="F26" s="11"/>
      <c r="G26" s="15"/>
      <c r="H26" s="15"/>
      <c r="I26" s="14"/>
      <c r="J26" s="11"/>
      <c r="K26" s="15"/>
    </row>
    <row r="27" spans="1:11" ht="46.5" x14ac:dyDescent="0.35">
      <c r="A27" s="24">
        <v>6</v>
      </c>
      <c r="B27" s="21"/>
      <c r="C27" s="22" t="s">
        <v>28</v>
      </c>
      <c r="D27" s="21"/>
      <c r="E27" s="21"/>
      <c r="F27" s="16" t="s">
        <v>29</v>
      </c>
      <c r="G27" s="12">
        <v>91263592034.779999</v>
      </c>
      <c r="H27" s="13">
        <f>G27/G28</f>
        <v>0.27969018623245179</v>
      </c>
      <c r="I27" s="14">
        <v>0.4</v>
      </c>
      <c r="J27" s="24" t="s">
        <v>72</v>
      </c>
      <c r="K27" s="15" t="s">
        <v>73</v>
      </c>
    </row>
    <row r="28" spans="1:11" x14ac:dyDescent="0.35">
      <c r="A28" s="24"/>
      <c r="B28" s="21"/>
      <c r="C28" s="21"/>
      <c r="D28" s="21"/>
      <c r="E28" s="21"/>
      <c r="F28" s="11" t="s">
        <v>30</v>
      </c>
      <c r="G28" s="12">
        <v>326302446518.20001</v>
      </c>
      <c r="H28" s="15"/>
      <c r="I28" s="14"/>
      <c r="J28" s="24"/>
      <c r="K28" s="15"/>
    </row>
    <row r="29" spans="1:11" x14ac:dyDescent="0.35">
      <c r="A29" s="24"/>
      <c r="B29" s="21"/>
      <c r="C29" s="21"/>
      <c r="D29" s="21"/>
      <c r="E29" s="21"/>
      <c r="F29" s="11"/>
      <c r="G29" s="15"/>
      <c r="H29" s="15"/>
      <c r="I29" s="14"/>
      <c r="J29" s="24"/>
      <c r="K29" s="15"/>
    </row>
    <row r="30" spans="1:11" x14ac:dyDescent="0.35">
      <c r="A30" s="24">
        <v>7</v>
      </c>
      <c r="B30" s="21"/>
      <c r="C30" s="21" t="s">
        <v>33</v>
      </c>
      <c r="D30" s="21"/>
      <c r="E30" s="21"/>
      <c r="F30" s="11" t="s">
        <v>38</v>
      </c>
      <c r="G30" s="29">
        <v>488283499667</v>
      </c>
      <c r="H30" s="26">
        <v>0.50870000000000004</v>
      </c>
      <c r="I30" s="14">
        <v>0.2</v>
      </c>
      <c r="J30" s="24" t="s">
        <v>72</v>
      </c>
      <c r="K30" s="15"/>
    </row>
    <row r="31" spans="1:11" x14ac:dyDescent="0.35">
      <c r="A31" s="24"/>
      <c r="B31" s="21"/>
      <c r="C31" s="21"/>
      <c r="D31" s="21"/>
      <c r="E31" s="21"/>
      <c r="F31" s="11"/>
      <c r="G31" s="29"/>
      <c r="H31" s="26"/>
      <c r="I31" s="14"/>
      <c r="J31" s="24"/>
      <c r="K31" s="15"/>
    </row>
    <row r="32" spans="1:11" ht="60.5" customHeight="1" x14ac:dyDescent="0.35">
      <c r="A32" s="20">
        <v>8</v>
      </c>
      <c r="B32" s="22" t="s">
        <v>20</v>
      </c>
      <c r="C32" s="21" t="s">
        <v>33</v>
      </c>
      <c r="D32" s="21"/>
      <c r="E32" s="22" t="s">
        <v>34</v>
      </c>
      <c r="F32" s="11" t="s">
        <v>23</v>
      </c>
      <c r="G32" s="12">
        <v>806400</v>
      </c>
      <c r="H32" s="30">
        <v>1</v>
      </c>
      <c r="I32" s="14"/>
      <c r="J32" s="24"/>
      <c r="K32" s="15"/>
    </row>
    <row r="33" spans="1:11" ht="19" customHeight="1" x14ac:dyDescent="0.35">
      <c r="A33" s="20"/>
      <c r="B33" s="22"/>
      <c r="C33" s="21"/>
      <c r="D33" s="21"/>
      <c r="E33" s="22"/>
      <c r="F33" s="11"/>
      <c r="G33" s="12"/>
      <c r="H33" s="30"/>
      <c r="I33" s="14"/>
      <c r="J33" s="24"/>
      <c r="K33" s="15"/>
    </row>
    <row r="34" spans="1:11" ht="31" x14ac:dyDescent="0.35">
      <c r="A34" s="20">
        <v>9</v>
      </c>
      <c r="B34" s="22" t="s">
        <v>20</v>
      </c>
      <c r="C34" s="21" t="s">
        <v>33</v>
      </c>
      <c r="D34" s="21"/>
      <c r="E34" s="22" t="s">
        <v>35</v>
      </c>
      <c r="F34" s="11" t="s">
        <v>36</v>
      </c>
      <c r="G34" s="12">
        <v>1920000</v>
      </c>
      <c r="H34" s="15"/>
      <c r="I34" s="14"/>
      <c r="J34" s="24"/>
      <c r="K34" s="15"/>
    </row>
    <row r="35" spans="1:11" x14ac:dyDescent="0.35">
      <c r="A35" s="20"/>
      <c r="B35" s="21"/>
      <c r="C35" s="21"/>
      <c r="D35" s="21"/>
      <c r="E35" s="21"/>
      <c r="F35" s="11" t="s">
        <v>10</v>
      </c>
      <c r="G35" s="12">
        <v>1270000</v>
      </c>
      <c r="H35" s="15"/>
      <c r="I35" s="14"/>
      <c r="J35" s="24"/>
      <c r="K35" s="15"/>
    </row>
    <row r="36" spans="1:11" x14ac:dyDescent="0.35">
      <c r="A36" s="20"/>
      <c r="B36" s="21"/>
      <c r="C36" s="21"/>
      <c r="D36" s="21"/>
      <c r="E36" s="21"/>
      <c r="F36" s="24" t="s">
        <v>25</v>
      </c>
      <c r="G36" s="12">
        <v>3190000</v>
      </c>
      <c r="H36" s="30">
        <v>1</v>
      </c>
      <c r="I36" s="14"/>
      <c r="J36" s="24"/>
      <c r="K36" s="15"/>
    </row>
    <row r="37" spans="1:11" x14ac:dyDescent="0.35">
      <c r="A37" s="20"/>
      <c r="B37" s="21"/>
      <c r="C37" s="21"/>
      <c r="D37" s="21"/>
      <c r="E37" s="21"/>
      <c r="F37" s="11"/>
      <c r="G37" s="15"/>
      <c r="H37" s="15"/>
      <c r="I37" s="14"/>
      <c r="J37" s="24"/>
      <c r="K37" s="15"/>
    </row>
    <row r="38" spans="1:11" x14ac:dyDescent="0.35">
      <c r="A38" s="20">
        <v>10</v>
      </c>
      <c r="B38" s="21"/>
      <c r="C38" s="21" t="s">
        <v>37</v>
      </c>
      <c r="D38" s="21"/>
      <c r="E38" s="21"/>
      <c r="F38" s="11" t="s">
        <v>38</v>
      </c>
      <c r="G38" s="29">
        <v>122350681154</v>
      </c>
      <c r="H38" s="26">
        <v>0.14480000000000001</v>
      </c>
      <c r="I38" s="14">
        <v>0.4</v>
      </c>
      <c r="J38" s="24" t="s">
        <v>72</v>
      </c>
      <c r="K38" s="15"/>
    </row>
    <row r="39" spans="1:11" x14ac:dyDescent="0.35">
      <c r="A39" s="20"/>
      <c r="B39" s="21"/>
      <c r="C39" s="21"/>
      <c r="D39" s="21"/>
      <c r="E39" s="21"/>
      <c r="F39" s="11"/>
      <c r="G39" s="15"/>
      <c r="H39" s="15"/>
      <c r="I39" s="14"/>
      <c r="J39" s="15"/>
      <c r="K39" s="15"/>
    </row>
    <row r="40" spans="1:11" ht="31" x14ac:dyDescent="0.35">
      <c r="A40" s="20">
        <v>11</v>
      </c>
      <c r="B40" s="22" t="s">
        <v>20</v>
      </c>
      <c r="C40" s="21" t="s">
        <v>37</v>
      </c>
      <c r="D40" s="21"/>
      <c r="E40" s="22" t="s">
        <v>39</v>
      </c>
      <c r="F40" s="16" t="s">
        <v>40</v>
      </c>
      <c r="G40" s="12">
        <v>486400</v>
      </c>
      <c r="H40" s="15"/>
      <c r="I40" s="14"/>
      <c r="J40" s="15"/>
      <c r="K40" s="15"/>
    </row>
    <row r="41" spans="1:11" ht="31" x14ac:dyDescent="0.35">
      <c r="A41" s="20"/>
      <c r="B41" s="21"/>
      <c r="C41" s="21"/>
      <c r="D41" s="21"/>
      <c r="E41" s="21"/>
      <c r="F41" s="16" t="s">
        <v>41</v>
      </c>
      <c r="G41" s="12">
        <v>83050</v>
      </c>
      <c r="H41" s="15"/>
      <c r="I41" s="14"/>
      <c r="J41" s="15"/>
      <c r="K41" s="15"/>
    </row>
    <row r="42" spans="1:11" ht="31" x14ac:dyDescent="0.35">
      <c r="A42" s="20"/>
      <c r="B42" s="21"/>
      <c r="C42" s="21"/>
      <c r="D42" s="21"/>
      <c r="E42" s="21"/>
      <c r="F42" s="16" t="s">
        <v>8</v>
      </c>
      <c r="G42" s="12">
        <v>139050</v>
      </c>
      <c r="H42" s="15"/>
      <c r="I42" s="14"/>
      <c r="J42" s="15"/>
      <c r="K42" s="15"/>
    </row>
    <row r="43" spans="1:11" ht="31" x14ac:dyDescent="0.35">
      <c r="A43" s="20"/>
      <c r="B43" s="21"/>
      <c r="C43" s="21"/>
      <c r="D43" s="21"/>
      <c r="E43" s="21"/>
      <c r="F43" s="16" t="s">
        <v>42</v>
      </c>
      <c r="G43" s="12">
        <v>83250</v>
      </c>
      <c r="H43" s="15"/>
      <c r="I43" s="14"/>
      <c r="J43" s="15"/>
      <c r="K43" s="15"/>
    </row>
    <row r="44" spans="1:11" x14ac:dyDescent="0.35">
      <c r="A44" s="20"/>
      <c r="B44" s="21"/>
      <c r="C44" s="21"/>
      <c r="D44" s="21"/>
      <c r="E44" s="21"/>
      <c r="F44" s="11" t="s">
        <v>10</v>
      </c>
      <c r="G44" s="12">
        <v>1315000</v>
      </c>
      <c r="H44" s="15"/>
      <c r="I44" s="14"/>
      <c r="J44" s="15"/>
      <c r="K44" s="15"/>
    </row>
    <row r="45" spans="1:11" x14ac:dyDescent="0.35">
      <c r="A45" s="20"/>
      <c r="B45" s="21"/>
      <c r="C45" s="21"/>
      <c r="D45" s="21"/>
      <c r="E45" s="21"/>
      <c r="F45" s="31" t="s">
        <v>19</v>
      </c>
      <c r="G45" s="12">
        <f>SUM(G40:G44)</f>
        <v>2106750</v>
      </c>
      <c r="H45" s="30">
        <v>1</v>
      </c>
      <c r="I45" s="14"/>
      <c r="J45" s="15"/>
      <c r="K45" s="15"/>
    </row>
    <row r="46" spans="1:11" x14ac:dyDescent="0.35">
      <c r="A46" s="20"/>
      <c r="B46" s="21"/>
      <c r="C46" s="21"/>
      <c r="D46" s="21"/>
      <c r="E46" s="21"/>
      <c r="F46" s="11"/>
      <c r="G46" s="15"/>
      <c r="H46" s="15"/>
      <c r="I46" s="14"/>
      <c r="J46" s="15"/>
      <c r="K46" s="15"/>
    </row>
    <row r="47" spans="1:11" ht="31" x14ac:dyDescent="0.35">
      <c r="A47" s="20">
        <v>12</v>
      </c>
      <c r="B47" s="21"/>
      <c r="C47" s="22" t="s">
        <v>43</v>
      </c>
      <c r="D47" s="21"/>
      <c r="E47" s="21"/>
      <c r="F47" s="11" t="s">
        <v>38</v>
      </c>
      <c r="G47" s="29">
        <v>519821154279</v>
      </c>
      <c r="H47" s="26">
        <v>0.54159999999999997</v>
      </c>
      <c r="I47" s="14">
        <v>0.3</v>
      </c>
      <c r="J47" s="20" t="s">
        <v>74</v>
      </c>
      <c r="K47" s="15"/>
    </row>
    <row r="48" spans="1:11" x14ac:dyDescent="0.35">
      <c r="A48" s="20"/>
      <c r="B48" s="21"/>
      <c r="C48" s="21"/>
      <c r="D48" s="21"/>
      <c r="E48" s="21"/>
      <c r="F48" s="11"/>
      <c r="G48" s="15"/>
      <c r="H48" s="15"/>
      <c r="I48" s="14"/>
      <c r="J48" s="20"/>
      <c r="K48" s="15"/>
    </row>
    <row r="49" spans="1:11" x14ac:dyDescent="0.35">
      <c r="A49" s="32">
        <v>13</v>
      </c>
      <c r="B49" s="33"/>
      <c r="C49" s="33" t="s">
        <v>44</v>
      </c>
      <c r="D49" s="33"/>
      <c r="E49" s="33"/>
      <c r="F49" s="34" t="s">
        <v>45</v>
      </c>
      <c r="G49" s="35">
        <v>0</v>
      </c>
      <c r="H49" s="35"/>
      <c r="I49" s="36">
        <v>0.1</v>
      </c>
      <c r="J49" s="20"/>
      <c r="K49" s="15"/>
    </row>
    <row r="50" spans="1:11" x14ac:dyDescent="0.35">
      <c r="A50" s="20"/>
      <c r="B50" s="21"/>
      <c r="C50" s="21"/>
      <c r="D50" s="21"/>
      <c r="E50" s="21"/>
      <c r="F50" s="11"/>
      <c r="G50" s="15"/>
      <c r="H50" s="15"/>
      <c r="I50" s="15"/>
      <c r="J50" s="20"/>
      <c r="K50" s="15"/>
    </row>
    <row r="51" spans="1:11" x14ac:dyDescent="0.35">
      <c r="A51" s="32">
        <v>14</v>
      </c>
      <c r="B51" s="33"/>
      <c r="C51" s="33" t="s">
        <v>46</v>
      </c>
      <c r="D51" s="33"/>
      <c r="E51" s="33"/>
      <c r="F51" s="34" t="s">
        <v>45</v>
      </c>
      <c r="G51" s="35">
        <v>0</v>
      </c>
      <c r="H51" s="35"/>
      <c r="I51" s="36">
        <v>0.1</v>
      </c>
      <c r="J51" s="20"/>
      <c r="K51" s="15"/>
    </row>
    <row r="52" spans="1:11" x14ac:dyDescent="0.35">
      <c r="A52" s="20"/>
      <c r="B52" s="21"/>
      <c r="C52" s="21"/>
      <c r="D52" s="21"/>
      <c r="E52" s="21"/>
      <c r="F52" s="11"/>
      <c r="G52" s="15"/>
      <c r="H52" s="15"/>
      <c r="I52" s="37"/>
      <c r="J52" s="20"/>
      <c r="K52" s="15"/>
    </row>
    <row r="53" spans="1:11" x14ac:dyDescent="0.35">
      <c r="A53" s="32">
        <v>15</v>
      </c>
      <c r="B53" s="33"/>
      <c r="C53" s="33" t="s">
        <v>47</v>
      </c>
      <c r="D53" s="33"/>
      <c r="E53" s="33"/>
      <c r="F53" s="34" t="s">
        <v>45</v>
      </c>
      <c r="G53" s="38">
        <v>3913827058</v>
      </c>
      <c r="H53" s="39">
        <v>0.24990000000000001</v>
      </c>
      <c r="I53" s="40">
        <v>0.5</v>
      </c>
      <c r="J53" s="20"/>
      <c r="K53" s="15"/>
    </row>
    <row r="54" spans="1:11" x14ac:dyDescent="0.35">
      <c r="A54" s="20"/>
      <c r="B54" s="21"/>
      <c r="C54" s="21"/>
      <c r="D54" s="21"/>
      <c r="E54" s="21"/>
      <c r="F54" s="11"/>
      <c r="G54" s="15"/>
      <c r="H54" s="15"/>
      <c r="I54" s="14"/>
      <c r="J54" s="20"/>
      <c r="K54" s="15"/>
    </row>
    <row r="55" spans="1:11" ht="62" x14ac:dyDescent="0.35">
      <c r="A55" s="20">
        <v>16</v>
      </c>
      <c r="B55" s="21"/>
      <c r="C55" s="22" t="s">
        <v>49</v>
      </c>
      <c r="D55" s="21"/>
      <c r="E55" s="22" t="s">
        <v>50</v>
      </c>
      <c r="F55" s="11"/>
      <c r="G55" s="15">
        <v>0</v>
      </c>
      <c r="H55" s="15"/>
      <c r="I55" s="14"/>
      <c r="J55" s="20"/>
      <c r="K55" s="15"/>
    </row>
    <row r="56" spans="1:11" x14ac:dyDescent="0.35">
      <c r="A56" s="20"/>
      <c r="B56" s="21"/>
      <c r="C56" s="21"/>
      <c r="D56" s="21"/>
      <c r="E56" s="21"/>
      <c r="F56" s="11"/>
      <c r="G56" s="15"/>
      <c r="H56" s="15"/>
      <c r="I56" s="14"/>
      <c r="J56" s="20"/>
      <c r="K56" s="15"/>
    </row>
    <row r="57" spans="1:11" x14ac:dyDescent="0.35">
      <c r="A57" s="20">
        <v>17</v>
      </c>
      <c r="B57" s="21" t="s">
        <v>51</v>
      </c>
      <c r="C57" s="21" t="s">
        <v>52</v>
      </c>
      <c r="D57" s="21"/>
      <c r="E57" s="21"/>
      <c r="F57" s="11" t="s">
        <v>53</v>
      </c>
      <c r="G57" s="12">
        <v>738500129</v>
      </c>
      <c r="H57" s="26">
        <v>8.0000000000000004E-4</v>
      </c>
      <c r="I57" s="14">
        <v>0.01</v>
      </c>
      <c r="J57" s="20"/>
      <c r="K57" s="15"/>
    </row>
    <row r="58" spans="1:11" x14ac:dyDescent="0.35">
      <c r="A58" s="20"/>
      <c r="B58" s="21"/>
      <c r="C58" s="21"/>
      <c r="D58" s="21"/>
      <c r="E58" s="21"/>
      <c r="F58" s="11"/>
      <c r="G58" s="15"/>
      <c r="H58" s="15"/>
      <c r="I58" s="14"/>
      <c r="J58" s="20"/>
      <c r="K58" s="15"/>
    </row>
    <row r="59" spans="1:11" ht="46.5" x14ac:dyDescent="0.35">
      <c r="A59" s="20">
        <v>18</v>
      </c>
      <c r="B59" s="22" t="s">
        <v>54</v>
      </c>
      <c r="C59" s="22" t="s">
        <v>56</v>
      </c>
      <c r="D59" s="21"/>
      <c r="E59" s="21"/>
      <c r="F59" s="16" t="s">
        <v>55</v>
      </c>
      <c r="G59" s="12">
        <v>858693556</v>
      </c>
      <c r="H59" s="26">
        <v>8.9999999999999998E-4</v>
      </c>
      <c r="I59" s="13">
        <v>1.6000000000000001E-3</v>
      </c>
      <c r="J59" s="20"/>
      <c r="K59" s="15"/>
    </row>
    <row r="60" spans="1:11" x14ac:dyDescent="0.35">
      <c r="A60" s="20"/>
      <c r="B60" s="21"/>
      <c r="C60" s="21"/>
      <c r="D60" s="21"/>
      <c r="E60" s="21"/>
      <c r="F60" s="11"/>
      <c r="G60" s="15"/>
      <c r="H60" s="15"/>
      <c r="I60" s="14"/>
      <c r="J60" s="20"/>
      <c r="K60" s="15"/>
    </row>
    <row r="61" spans="1:11" ht="52.5" customHeight="1" x14ac:dyDescent="0.35">
      <c r="A61" s="20">
        <v>19</v>
      </c>
      <c r="B61" s="21" t="s">
        <v>57</v>
      </c>
      <c r="C61" s="22" t="s">
        <v>61</v>
      </c>
      <c r="D61" s="21"/>
      <c r="E61" s="21"/>
      <c r="F61" s="11" t="s">
        <v>58</v>
      </c>
      <c r="G61" s="29">
        <v>513628512</v>
      </c>
      <c r="H61" s="26">
        <v>5.0000000000000001E-4</v>
      </c>
      <c r="I61" s="41">
        <v>600000000</v>
      </c>
      <c r="J61" s="20" t="s">
        <v>72</v>
      </c>
      <c r="K61" s="28" t="s">
        <v>59</v>
      </c>
    </row>
    <row r="62" spans="1:11" x14ac:dyDescent="0.35">
      <c r="A62" s="20"/>
      <c r="B62" s="21"/>
      <c r="C62" s="21"/>
      <c r="D62" s="21"/>
      <c r="E62" s="21"/>
      <c r="F62" s="11"/>
      <c r="G62" s="15"/>
      <c r="H62" s="15"/>
      <c r="I62" s="13">
        <v>1.5E-3</v>
      </c>
      <c r="J62" s="20" t="s">
        <v>74</v>
      </c>
      <c r="K62" s="15"/>
    </row>
    <row r="63" spans="1:11" x14ac:dyDescent="0.35">
      <c r="A63" s="20"/>
      <c r="B63" s="21"/>
      <c r="C63" s="21"/>
      <c r="D63" s="21"/>
      <c r="E63" s="21"/>
      <c r="F63" s="11"/>
      <c r="G63" s="15"/>
      <c r="H63" s="15"/>
      <c r="I63" s="13"/>
      <c r="J63" s="15"/>
      <c r="K63" s="15"/>
    </row>
    <row r="64" spans="1:11" ht="31" x14ac:dyDescent="0.35">
      <c r="A64" s="20">
        <v>20</v>
      </c>
      <c r="B64" s="15"/>
      <c r="C64" s="22" t="s">
        <v>62</v>
      </c>
      <c r="D64" s="21"/>
      <c r="E64" s="21"/>
      <c r="F64" s="11"/>
      <c r="G64" s="24" t="s">
        <v>63</v>
      </c>
      <c r="H64" s="15"/>
      <c r="I64" s="14"/>
      <c r="J64" s="15"/>
      <c r="K64" s="15"/>
    </row>
    <row r="65" spans="1:11" ht="46.5" x14ac:dyDescent="0.35">
      <c r="A65" s="20">
        <v>21</v>
      </c>
      <c r="B65" s="15"/>
      <c r="C65" s="22" t="s">
        <v>64</v>
      </c>
      <c r="D65" s="21"/>
      <c r="E65" s="21"/>
      <c r="F65" s="11"/>
      <c r="G65" s="24" t="s">
        <v>65</v>
      </c>
      <c r="H65" s="15"/>
      <c r="I65" s="14"/>
      <c r="J65" s="15"/>
      <c r="K65" s="15"/>
    </row>
    <row r="66" spans="1:11" x14ac:dyDescent="0.35">
      <c r="G66" s="43"/>
    </row>
  </sheetData>
  <mergeCells count="1">
    <mergeCell ref="J19:J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89961-2D3C-42B3-A633-343FC3DD553D}">
  <dimension ref="A2:K66"/>
  <sheetViews>
    <sheetView tabSelected="1" zoomScale="66" zoomScaleNormal="66" workbookViewId="0">
      <selection activeCell="I12" sqref="I12"/>
    </sheetView>
  </sheetViews>
  <sheetFormatPr defaultRowHeight="15.5" x14ac:dyDescent="0.35"/>
  <cols>
    <col min="1" max="1" width="5.54296875" style="42" customWidth="1"/>
    <col min="2" max="2" width="19.08984375" style="9" customWidth="1"/>
    <col min="3" max="3" width="28.90625" style="9" customWidth="1"/>
    <col min="4" max="4" width="27.7265625" style="9" hidden="1" customWidth="1"/>
    <col min="5" max="5" width="40.6328125" style="9" customWidth="1"/>
    <col min="6" max="6" width="46" style="9" customWidth="1"/>
    <col min="7" max="8" width="23.90625" style="9" customWidth="1"/>
    <col min="9" max="9" width="24.08984375" style="44" customWidth="1"/>
    <col min="10" max="10" width="30.81640625" style="9" customWidth="1"/>
    <col min="11" max="11" width="30.453125" style="9" customWidth="1"/>
    <col min="12" max="16384" width="8.7265625" style="9"/>
  </cols>
  <sheetData>
    <row r="2" spans="1:11" s="19" customFormat="1" ht="15" x14ac:dyDescent="0.3">
      <c r="A2" s="17" t="s">
        <v>1</v>
      </c>
      <c r="B2" s="17" t="s">
        <v>12</v>
      </c>
      <c r="C2" s="17" t="s">
        <v>60</v>
      </c>
      <c r="D2" s="17" t="s">
        <v>15</v>
      </c>
      <c r="E2" s="17" t="s">
        <v>2</v>
      </c>
      <c r="F2" s="17" t="s">
        <v>4</v>
      </c>
      <c r="G2" s="17" t="s">
        <v>6</v>
      </c>
      <c r="H2" s="17" t="s">
        <v>31</v>
      </c>
      <c r="I2" s="18" t="s">
        <v>32</v>
      </c>
      <c r="J2" s="17" t="s">
        <v>67</v>
      </c>
      <c r="K2" s="17" t="s">
        <v>66</v>
      </c>
    </row>
    <row r="3" spans="1:11" ht="17.5" customHeight="1" x14ac:dyDescent="0.35">
      <c r="A3" s="20">
        <v>1</v>
      </c>
      <c r="B3" s="21" t="s">
        <v>13</v>
      </c>
      <c r="C3" s="22" t="s">
        <v>24</v>
      </c>
      <c r="D3" s="22" t="s">
        <v>16</v>
      </c>
      <c r="E3" s="22" t="s">
        <v>3</v>
      </c>
      <c r="F3" s="21" t="s">
        <v>5</v>
      </c>
      <c r="G3" s="23">
        <v>4047500</v>
      </c>
      <c r="H3" s="15"/>
      <c r="I3" s="14"/>
      <c r="J3" s="15"/>
      <c r="K3" s="15"/>
    </row>
    <row r="4" spans="1:11" ht="31" x14ac:dyDescent="0.35">
      <c r="A4" s="20"/>
      <c r="B4" s="21"/>
      <c r="C4" s="21"/>
      <c r="D4" s="21"/>
      <c r="E4" s="21"/>
      <c r="F4" s="22" t="s">
        <v>7</v>
      </c>
      <c r="G4" s="23">
        <v>780000</v>
      </c>
      <c r="H4" s="15"/>
      <c r="I4" s="14"/>
      <c r="J4" s="15"/>
      <c r="K4" s="15"/>
    </row>
    <row r="5" spans="1:11" ht="31" x14ac:dyDescent="0.35">
      <c r="A5" s="20"/>
      <c r="B5" s="21"/>
      <c r="C5" s="21"/>
      <c r="D5" s="21"/>
      <c r="E5" s="21"/>
      <c r="F5" s="22" t="s">
        <v>8</v>
      </c>
      <c r="G5" s="23">
        <v>167500</v>
      </c>
      <c r="H5" s="15"/>
      <c r="I5" s="14"/>
      <c r="J5" s="15"/>
      <c r="K5" s="15"/>
    </row>
    <row r="6" spans="1:11" ht="31" x14ac:dyDescent="0.35">
      <c r="A6" s="20"/>
      <c r="B6" s="21"/>
      <c r="C6" s="21"/>
      <c r="D6" s="21"/>
      <c r="E6" s="21"/>
      <c r="F6" s="22" t="s">
        <v>9</v>
      </c>
      <c r="G6" s="23">
        <v>100000</v>
      </c>
      <c r="H6" s="15"/>
      <c r="I6" s="14"/>
      <c r="J6" s="15"/>
      <c r="K6" s="15"/>
    </row>
    <row r="7" spans="1:11" x14ac:dyDescent="0.35">
      <c r="A7" s="20"/>
      <c r="B7" s="21"/>
      <c r="C7" s="21"/>
      <c r="D7" s="21"/>
      <c r="E7" s="21"/>
      <c r="F7" s="21" t="s">
        <v>10</v>
      </c>
      <c r="G7" s="23">
        <v>2010000</v>
      </c>
      <c r="H7" s="15"/>
      <c r="I7" s="14"/>
      <c r="J7" s="15"/>
      <c r="K7" s="15"/>
    </row>
    <row r="8" spans="1:11" x14ac:dyDescent="0.35">
      <c r="A8" s="20"/>
      <c r="B8" s="21"/>
      <c r="C8" s="21"/>
      <c r="D8" s="21"/>
      <c r="E8" s="21"/>
      <c r="F8" s="21" t="s">
        <v>11</v>
      </c>
      <c r="G8" s="23">
        <v>16200000</v>
      </c>
      <c r="H8" s="15"/>
      <c r="I8" s="14"/>
      <c r="J8" s="15"/>
      <c r="K8" s="15"/>
    </row>
    <row r="9" spans="1:11" ht="31" x14ac:dyDescent="0.35">
      <c r="A9" s="20"/>
      <c r="B9" s="21"/>
      <c r="C9" s="21"/>
      <c r="D9" s="21"/>
      <c r="E9" s="21"/>
      <c r="F9" s="24" t="s">
        <v>19</v>
      </c>
      <c r="G9" s="23">
        <f>SUM(G3:G8)</f>
        <v>23305000</v>
      </c>
      <c r="H9" s="25">
        <v>1</v>
      </c>
      <c r="I9" s="14"/>
      <c r="J9" s="10" t="s">
        <v>68</v>
      </c>
      <c r="K9" s="15"/>
    </row>
    <row r="10" spans="1:11" x14ac:dyDescent="0.35">
      <c r="A10" s="20"/>
      <c r="B10" s="21"/>
      <c r="C10" s="21"/>
      <c r="D10" s="21"/>
      <c r="E10" s="21"/>
      <c r="F10" s="24"/>
      <c r="G10" s="15"/>
      <c r="H10" s="15"/>
      <c r="I10" s="14"/>
      <c r="J10" s="15"/>
      <c r="K10" s="15"/>
    </row>
    <row r="11" spans="1:11" x14ac:dyDescent="0.35">
      <c r="A11" s="20">
        <v>2</v>
      </c>
      <c r="B11" s="21" t="s">
        <v>13</v>
      </c>
      <c r="C11" s="22" t="s">
        <v>24</v>
      </c>
      <c r="D11" s="21"/>
      <c r="E11" s="22" t="s">
        <v>17</v>
      </c>
      <c r="F11" s="11" t="s">
        <v>5</v>
      </c>
      <c r="G11" s="12">
        <v>5523900</v>
      </c>
      <c r="H11" s="15"/>
      <c r="I11" s="14"/>
      <c r="J11" s="15"/>
      <c r="K11" s="15"/>
    </row>
    <row r="12" spans="1:11" ht="31" x14ac:dyDescent="0.35">
      <c r="A12" s="20"/>
      <c r="B12" s="21"/>
      <c r="C12" s="21"/>
      <c r="D12" s="21"/>
      <c r="E12" s="21"/>
      <c r="F12" s="16" t="s">
        <v>7</v>
      </c>
      <c r="G12" s="12">
        <v>1800600</v>
      </c>
      <c r="H12" s="15"/>
      <c r="I12" s="14"/>
      <c r="J12" s="15"/>
      <c r="K12" s="15"/>
    </row>
    <row r="13" spans="1:11" ht="31" x14ac:dyDescent="0.35">
      <c r="A13" s="20"/>
      <c r="B13" s="21"/>
      <c r="C13" s="21"/>
      <c r="D13" s="21"/>
      <c r="E13" s="21"/>
      <c r="F13" s="16" t="s">
        <v>8</v>
      </c>
      <c r="G13" s="12">
        <v>303000</v>
      </c>
      <c r="H13" s="15"/>
      <c r="I13" s="14"/>
      <c r="J13" s="15"/>
      <c r="K13" s="15"/>
    </row>
    <row r="14" spans="1:11" ht="31" x14ac:dyDescent="0.35">
      <c r="A14" s="20"/>
      <c r="B14" s="21"/>
      <c r="C14" s="21"/>
      <c r="D14" s="21"/>
      <c r="E14" s="21"/>
      <c r="F14" s="16" t="s">
        <v>18</v>
      </c>
      <c r="G14" s="12">
        <v>480000</v>
      </c>
      <c r="H14" s="15"/>
      <c r="I14" s="14"/>
      <c r="J14" s="15"/>
      <c r="K14" s="15"/>
    </row>
    <row r="15" spans="1:11" x14ac:dyDescent="0.35">
      <c r="A15" s="20"/>
      <c r="B15" s="21"/>
      <c r="C15" s="21"/>
      <c r="D15" s="21"/>
      <c r="E15" s="21"/>
      <c r="F15" s="11" t="s">
        <v>10</v>
      </c>
      <c r="G15" s="12">
        <v>4032500</v>
      </c>
      <c r="H15" s="15"/>
      <c r="I15" s="14"/>
      <c r="J15" s="15"/>
      <c r="K15" s="15"/>
    </row>
    <row r="16" spans="1:11" x14ac:dyDescent="0.35">
      <c r="A16" s="20"/>
      <c r="B16" s="21"/>
      <c r="C16" s="21"/>
      <c r="D16" s="21"/>
      <c r="E16" s="21"/>
      <c r="F16" s="11" t="s">
        <v>11</v>
      </c>
      <c r="G16" s="12">
        <v>16200000</v>
      </c>
      <c r="H16" s="15"/>
      <c r="I16" s="14"/>
      <c r="J16" s="15"/>
      <c r="K16" s="15"/>
    </row>
    <row r="17" spans="1:11" ht="31" x14ac:dyDescent="0.35">
      <c r="A17" s="24"/>
      <c r="B17" s="21"/>
      <c r="C17" s="21"/>
      <c r="D17" s="21"/>
      <c r="E17" s="21"/>
      <c r="F17" s="24" t="s">
        <v>19</v>
      </c>
      <c r="G17" s="12">
        <f>SUM(G11:G16)</f>
        <v>28340000</v>
      </c>
      <c r="H17" s="25">
        <v>1</v>
      </c>
      <c r="I17" s="14"/>
      <c r="J17" s="10" t="s">
        <v>68</v>
      </c>
      <c r="K17" s="15"/>
    </row>
    <row r="18" spans="1:11" x14ac:dyDescent="0.35">
      <c r="A18" s="24"/>
      <c r="B18" s="21"/>
      <c r="C18" s="21"/>
      <c r="D18" s="21"/>
      <c r="E18" s="21"/>
      <c r="F18" s="24"/>
      <c r="G18" s="15"/>
      <c r="H18" s="15"/>
      <c r="I18" s="14"/>
      <c r="J18" s="15"/>
      <c r="K18" s="15"/>
    </row>
    <row r="19" spans="1:11" ht="31" x14ac:dyDescent="0.35">
      <c r="A19" s="24">
        <v>3</v>
      </c>
      <c r="B19" s="22" t="s">
        <v>20</v>
      </c>
      <c r="C19" s="21" t="s">
        <v>21</v>
      </c>
      <c r="D19" s="21"/>
      <c r="E19" s="22" t="s">
        <v>22</v>
      </c>
      <c r="F19" s="11" t="s">
        <v>23</v>
      </c>
      <c r="G19" s="12">
        <v>1920000</v>
      </c>
      <c r="H19" s="13">
        <v>0.29149999999999998</v>
      </c>
      <c r="I19" s="14"/>
      <c r="J19" s="45" t="s">
        <v>68</v>
      </c>
      <c r="K19" s="15"/>
    </row>
    <row r="20" spans="1:11" x14ac:dyDescent="0.35">
      <c r="A20" s="24"/>
      <c r="B20" s="21"/>
      <c r="C20" s="21"/>
      <c r="D20" s="21"/>
      <c r="E20" s="21"/>
      <c r="F20" s="11" t="s">
        <v>10</v>
      </c>
      <c r="G20" s="12">
        <v>1270000</v>
      </c>
      <c r="H20" s="26">
        <v>0.15970000000000001</v>
      </c>
      <c r="I20" s="14"/>
      <c r="J20" s="46"/>
      <c r="K20" s="15"/>
    </row>
    <row r="21" spans="1:11" x14ac:dyDescent="0.35">
      <c r="A21" s="24"/>
      <c r="B21" s="21"/>
      <c r="C21" s="21"/>
      <c r="D21" s="21"/>
      <c r="E21" s="21"/>
      <c r="F21" s="24" t="s">
        <v>25</v>
      </c>
      <c r="G21" s="12">
        <v>3190000</v>
      </c>
      <c r="H21" s="15"/>
      <c r="I21" s="14"/>
      <c r="J21" s="15"/>
      <c r="K21" s="15"/>
    </row>
    <row r="22" spans="1:11" x14ac:dyDescent="0.35">
      <c r="A22" s="24"/>
      <c r="B22" s="21"/>
      <c r="C22" s="21"/>
      <c r="D22" s="21"/>
      <c r="E22" s="21"/>
      <c r="F22" s="24"/>
      <c r="G22" s="27"/>
      <c r="H22" s="15"/>
      <c r="I22" s="14"/>
      <c r="J22" s="15"/>
      <c r="K22" s="15"/>
    </row>
    <row r="23" spans="1:11" ht="93" x14ac:dyDescent="0.35">
      <c r="A23" s="24">
        <v>4</v>
      </c>
      <c r="B23" s="21"/>
      <c r="C23" s="21" t="s">
        <v>26</v>
      </c>
      <c r="D23" s="21"/>
      <c r="E23" s="21"/>
      <c r="G23" s="24" t="s">
        <v>27</v>
      </c>
      <c r="H23" s="15"/>
      <c r="I23" s="28"/>
      <c r="J23" s="28" t="s">
        <v>71</v>
      </c>
      <c r="K23" s="16" t="s">
        <v>69</v>
      </c>
    </row>
    <row r="24" spans="1:11" x14ac:dyDescent="0.35">
      <c r="A24" s="24"/>
      <c r="B24" s="21"/>
      <c r="C24" s="21"/>
      <c r="D24" s="21"/>
      <c r="E24" s="21"/>
      <c r="F24" s="11"/>
      <c r="G24" s="24"/>
      <c r="H24" s="15"/>
      <c r="I24" s="14"/>
      <c r="J24" s="15"/>
      <c r="K24" s="11"/>
    </row>
    <row r="25" spans="1:11" ht="31" x14ac:dyDescent="0.35">
      <c r="A25" s="24">
        <v>5</v>
      </c>
      <c r="B25" s="21"/>
      <c r="C25" s="21" t="s">
        <v>48</v>
      </c>
      <c r="D25" s="21"/>
      <c r="E25" s="21"/>
      <c r="F25" s="11"/>
      <c r="G25" s="24" t="s">
        <v>27</v>
      </c>
      <c r="H25" s="15"/>
      <c r="I25" s="14"/>
      <c r="J25" s="15" t="s">
        <v>70</v>
      </c>
      <c r="K25" s="16" t="s">
        <v>69</v>
      </c>
    </row>
    <row r="26" spans="1:11" x14ac:dyDescent="0.35">
      <c r="A26" s="24"/>
      <c r="B26" s="21"/>
      <c r="C26" s="21"/>
      <c r="D26" s="21"/>
      <c r="E26" s="21"/>
      <c r="F26" s="11"/>
      <c r="G26" s="15"/>
      <c r="H26" s="15"/>
      <c r="I26" s="14"/>
      <c r="J26" s="11"/>
      <c r="K26" s="15"/>
    </row>
    <row r="27" spans="1:11" ht="46.5" x14ac:dyDescent="0.35">
      <c r="A27" s="24">
        <v>6</v>
      </c>
      <c r="B27" s="21"/>
      <c r="C27" s="22" t="s">
        <v>28</v>
      </c>
      <c r="D27" s="21"/>
      <c r="E27" s="21"/>
      <c r="F27" s="16" t="s">
        <v>29</v>
      </c>
      <c r="G27" s="12">
        <v>91263592034.779999</v>
      </c>
      <c r="H27" s="13">
        <f>G27/G28</f>
        <v>0.27969018623245179</v>
      </c>
      <c r="I27" s="14">
        <v>0.4</v>
      </c>
      <c r="J27" s="24" t="s">
        <v>72</v>
      </c>
      <c r="K27" s="15" t="s">
        <v>73</v>
      </c>
    </row>
    <row r="28" spans="1:11" x14ac:dyDescent="0.35">
      <c r="A28" s="24"/>
      <c r="B28" s="21"/>
      <c r="C28" s="21"/>
      <c r="D28" s="21"/>
      <c r="E28" s="21"/>
      <c r="F28" s="11" t="s">
        <v>30</v>
      </c>
      <c r="G28" s="12">
        <v>326302446518.20001</v>
      </c>
      <c r="H28" s="15"/>
      <c r="I28" s="14"/>
      <c r="J28" s="24"/>
      <c r="K28" s="15"/>
    </row>
    <row r="29" spans="1:11" x14ac:dyDescent="0.35">
      <c r="A29" s="24"/>
      <c r="B29" s="21"/>
      <c r="C29" s="21"/>
      <c r="D29" s="21"/>
      <c r="E29" s="21"/>
      <c r="F29" s="11"/>
      <c r="G29" s="15"/>
      <c r="H29" s="15"/>
      <c r="I29" s="14"/>
      <c r="J29" s="24"/>
      <c r="K29" s="15"/>
    </row>
    <row r="30" spans="1:11" x14ac:dyDescent="0.35">
      <c r="A30" s="24">
        <v>7</v>
      </c>
      <c r="B30" s="21"/>
      <c r="C30" s="21" t="s">
        <v>33</v>
      </c>
      <c r="D30" s="21"/>
      <c r="E30" s="21"/>
      <c r="F30" s="11" t="s">
        <v>38</v>
      </c>
      <c r="G30" s="29">
        <v>488283499667</v>
      </c>
      <c r="H30" s="26">
        <v>0.50870000000000004</v>
      </c>
      <c r="I30" s="14">
        <v>0.2</v>
      </c>
      <c r="J30" s="24" t="s">
        <v>72</v>
      </c>
      <c r="K30" s="15"/>
    </row>
    <row r="31" spans="1:11" x14ac:dyDescent="0.35">
      <c r="A31" s="24"/>
      <c r="B31" s="21"/>
      <c r="C31" s="21"/>
      <c r="D31" s="21"/>
      <c r="E31" s="21"/>
      <c r="F31" s="11"/>
      <c r="G31" s="29"/>
      <c r="H31" s="26"/>
      <c r="I31" s="14"/>
      <c r="J31" s="24"/>
      <c r="K31" s="15"/>
    </row>
    <row r="32" spans="1:11" ht="60.5" customHeight="1" x14ac:dyDescent="0.35">
      <c r="A32" s="20">
        <v>8</v>
      </c>
      <c r="B32" s="22" t="s">
        <v>20</v>
      </c>
      <c r="C32" s="21" t="s">
        <v>33</v>
      </c>
      <c r="D32" s="21"/>
      <c r="E32" s="22" t="s">
        <v>34</v>
      </c>
      <c r="F32" s="11" t="s">
        <v>23</v>
      </c>
      <c r="G32" s="12">
        <v>806400</v>
      </c>
      <c r="H32" s="30">
        <v>1</v>
      </c>
      <c r="I32" s="14"/>
      <c r="J32" s="24"/>
      <c r="K32" s="15"/>
    </row>
    <row r="33" spans="1:11" ht="19" customHeight="1" x14ac:dyDescent="0.35">
      <c r="A33" s="20"/>
      <c r="B33" s="22"/>
      <c r="C33" s="21"/>
      <c r="D33" s="21"/>
      <c r="E33" s="22"/>
      <c r="F33" s="11"/>
      <c r="G33" s="12"/>
      <c r="H33" s="30"/>
      <c r="I33" s="14"/>
      <c r="J33" s="24"/>
      <c r="K33" s="15"/>
    </row>
    <row r="34" spans="1:11" ht="31" x14ac:dyDescent="0.35">
      <c r="A34" s="20">
        <v>9</v>
      </c>
      <c r="B34" s="22" t="s">
        <v>20</v>
      </c>
      <c r="C34" s="21" t="s">
        <v>33</v>
      </c>
      <c r="D34" s="21"/>
      <c r="E34" s="22" t="s">
        <v>35</v>
      </c>
      <c r="F34" s="11" t="s">
        <v>36</v>
      </c>
      <c r="G34" s="12">
        <v>1920000</v>
      </c>
      <c r="H34" s="15"/>
      <c r="I34" s="14"/>
      <c r="J34" s="24"/>
      <c r="K34" s="15"/>
    </row>
    <row r="35" spans="1:11" x14ac:dyDescent="0.35">
      <c r="A35" s="20"/>
      <c r="B35" s="21"/>
      <c r="C35" s="21"/>
      <c r="D35" s="21"/>
      <c r="E35" s="21"/>
      <c r="F35" s="11" t="s">
        <v>10</v>
      </c>
      <c r="G35" s="12">
        <v>1270000</v>
      </c>
      <c r="H35" s="15"/>
      <c r="I35" s="14"/>
      <c r="J35" s="24"/>
      <c r="K35" s="15"/>
    </row>
    <row r="36" spans="1:11" x14ac:dyDescent="0.35">
      <c r="A36" s="20"/>
      <c r="B36" s="21"/>
      <c r="C36" s="21"/>
      <c r="D36" s="21"/>
      <c r="E36" s="21"/>
      <c r="F36" s="24" t="s">
        <v>25</v>
      </c>
      <c r="G36" s="12">
        <v>3190000</v>
      </c>
      <c r="H36" s="30">
        <v>1</v>
      </c>
      <c r="I36" s="14"/>
      <c r="J36" s="24"/>
      <c r="K36" s="15"/>
    </row>
    <row r="37" spans="1:11" x14ac:dyDescent="0.35">
      <c r="A37" s="20"/>
      <c r="B37" s="21"/>
      <c r="C37" s="21"/>
      <c r="D37" s="21"/>
      <c r="E37" s="21"/>
      <c r="F37" s="11"/>
      <c r="G37" s="15"/>
      <c r="H37" s="15"/>
      <c r="I37" s="14"/>
      <c r="J37" s="24"/>
      <c r="K37" s="15"/>
    </row>
    <row r="38" spans="1:11" x14ac:dyDescent="0.35">
      <c r="A38" s="20">
        <v>10</v>
      </c>
      <c r="B38" s="21"/>
      <c r="C38" s="21" t="s">
        <v>37</v>
      </c>
      <c r="D38" s="21"/>
      <c r="E38" s="21"/>
      <c r="F38" s="11" t="s">
        <v>38</v>
      </c>
      <c r="G38" s="29">
        <v>122350681154</v>
      </c>
      <c r="H38" s="26">
        <v>0.14480000000000001</v>
      </c>
      <c r="I38" s="14">
        <v>0.4</v>
      </c>
      <c r="J38" s="24" t="s">
        <v>72</v>
      </c>
      <c r="K38" s="15"/>
    </row>
    <row r="39" spans="1:11" x14ac:dyDescent="0.35">
      <c r="A39" s="20"/>
      <c r="B39" s="21"/>
      <c r="C39" s="21"/>
      <c r="D39" s="21"/>
      <c r="E39" s="21"/>
      <c r="F39" s="11"/>
      <c r="G39" s="15"/>
      <c r="H39" s="15"/>
      <c r="I39" s="14"/>
      <c r="J39" s="15"/>
      <c r="K39" s="15"/>
    </row>
    <row r="40" spans="1:11" ht="31" x14ac:dyDescent="0.35">
      <c r="A40" s="20">
        <v>11</v>
      </c>
      <c r="B40" s="22" t="s">
        <v>20</v>
      </c>
      <c r="C40" s="21" t="s">
        <v>37</v>
      </c>
      <c r="D40" s="21"/>
      <c r="E40" s="22" t="s">
        <v>39</v>
      </c>
      <c r="F40" s="16" t="s">
        <v>40</v>
      </c>
      <c r="G40" s="12">
        <v>486400</v>
      </c>
      <c r="H40" s="15"/>
      <c r="I40" s="14"/>
      <c r="J40" s="15"/>
      <c r="K40" s="15"/>
    </row>
    <row r="41" spans="1:11" ht="31" x14ac:dyDescent="0.35">
      <c r="A41" s="20"/>
      <c r="B41" s="21"/>
      <c r="C41" s="21"/>
      <c r="D41" s="21"/>
      <c r="E41" s="21"/>
      <c r="F41" s="16" t="s">
        <v>41</v>
      </c>
      <c r="G41" s="12">
        <v>83050</v>
      </c>
      <c r="H41" s="15"/>
      <c r="I41" s="14"/>
      <c r="J41" s="15"/>
      <c r="K41" s="15"/>
    </row>
    <row r="42" spans="1:11" ht="31" x14ac:dyDescent="0.35">
      <c r="A42" s="20"/>
      <c r="B42" s="21"/>
      <c r="C42" s="21"/>
      <c r="D42" s="21"/>
      <c r="E42" s="21"/>
      <c r="F42" s="16" t="s">
        <v>8</v>
      </c>
      <c r="G42" s="12">
        <v>139050</v>
      </c>
      <c r="H42" s="15"/>
      <c r="I42" s="14"/>
      <c r="J42" s="15"/>
      <c r="K42" s="15"/>
    </row>
    <row r="43" spans="1:11" ht="31" x14ac:dyDescent="0.35">
      <c r="A43" s="20"/>
      <c r="B43" s="21"/>
      <c r="C43" s="21"/>
      <c r="D43" s="21"/>
      <c r="E43" s="21"/>
      <c r="F43" s="16" t="s">
        <v>42</v>
      </c>
      <c r="G43" s="12">
        <v>83250</v>
      </c>
      <c r="H43" s="15"/>
      <c r="I43" s="14"/>
      <c r="J43" s="15"/>
      <c r="K43" s="15"/>
    </row>
    <row r="44" spans="1:11" x14ac:dyDescent="0.35">
      <c r="A44" s="20"/>
      <c r="B44" s="21"/>
      <c r="C44" s="21"/>
      <c r="D44" s="21"/>
      <c r="E44" s="21"/>
      <c r="F44" s="11" t="s">
        <v>10</v>
      </c>
      <c r="G44" s="12">
        <v>1315000</v>
      </c>
      <c r="H44" s="15"/>
      <c r="I44" s="14"/>
      <c r="J44" s="15"/>
      <c r="K44" s="15"/>
    </row>
    <row r="45" spans="1:11" x14ac:dyDescent="0.35">
      <c r="A45" s="20"/>
      <c r="B45" s="21"/>
      <c r="C45" s="21"/>
      <c r="D45" s="21"/>
      <c r="E45" s="21"/>
      <c r="F45" s="31" t="s">
        <v>19</v>
      </c>
      <c r="G45" s="12">
        <f>SUM(G40:G44)</f>
        <v>2106750</v>
      </c>
      <c r="H45" s="30">
        <v>1</v>
      </c>
      <c r="I45" s="14"/>
      <c r="J45" s="15"/>
      <c r="K45" s="15"/>
    </row>
    <row r="46" spans="1:11" x14ac:dyDescent="0.35">
      <c r="A46" s="20"/>
      <c r="B46" s="21"/>
      <c r="C46" s="21"/>
      <c r="D46" s="21"/>
      <c r="E46" s="21"/>
      <c r="F46" s="11"/>
      <c r="G46" s="15"/>
      <c r="H46" s="15"/>
      <c r="I46" s="14"/>
      <c r="J46" s="15"/>
      <c r="K46" s="15"/>
    </row>
    <row r="47" spans="1:11" ht="31" x14ac:dyDescent="0.35">
      <c r="A47" s="20">
        <v>12</v>
      </c>
      <c r="B47" s="21"/>
      <c r="C47" s="22" t="s">
        <v>43</v>
      </c>
      <c r="D47" s="21"/>
      <c r="E47" s="21"/>
      <c r="F47" s="11" t="s">
        <v>38</v>
      </c>
      <c r="G47" s="29">
        <v>519821154279</v>
      </c>
      <c r="H47" s="26">
        <v>0.54159999999999997</v>
      </c>
      <c r="I47" s="14">
        <v>0.3</v>
      </c>
      <c r="J47" s="20" t="s">
        <v>74</v>
      </c>
      <c r="K47" s="15"/>
    </row>
    <row r="48" spans="1:11" x14ac:dyDescent="0.35">
      <c r="A48" s="20"/>
      <c r="B48" s="21"/>
      <c r="C48" s="21"/>
      <c r="D48" s="21"/>
      <c r="E48" s="21"/>
      <c r="F48" s="11"/>
      <c r="G48" s="15"/>
      <c r="H48" s="15"/>
      <c r="I48" s="14"/>
      <c r="J48" s="20"/>
      <c r="K48" s="15"/>
    </row>
    <row r="49" spans="1:11" x14ac:dyDescent="0.35">
      <c r="A49" s="32">
        <v>13</v>
      </c>
      <c r="B49" s="33"/>
      <c r="C49" s="33" t="s">
        <v>44</v>
      </c>
      <c r="D49" s="33"/>
      <c r="E49" s="33"/>
      <c r="F49" s="34" t="s">
        <v>45</v>
      </c>
      <c r="G49" s="35">
        <v>0</v>
      </c>
      <c r="H49" s="35"/>
      <c r="I49" s="36">
        <v>0.1</v>
      </c>
      <c r="J49" s="20"/>
      <c r="K49" s="15"/>
    </row>
    <row r="50" spans="1:11" x14ac:dyDescent="0.35">
      <c r="A50" s="20"/>
      <c r="B50" s="21"/>
      <c r="C50" s="21"/>
      <c r="D50" s="21"/>
      <c r="E50" s="21"/>
      <c r="F50" s="11"/>
      <c r="G50" s="15"/>
      <c r="H50" s="15"/>
      <c r="I50" s="15"/>
      <c r="J50" s="20"/>
      <c r="K50" s="15"/>
    </row>
    <row r="51" spans="1:11" x14ac:dyDescent="0.35">
      <c r="A51" s="32">
        <v>14</v>
      </c>
      <c r="B51" s="33"/>
      <c r="C51" s="33" t="s">
        <v>46</v>
      </c>
      <c r="D51" s="33"/>
      <c r="E51" s="33"/>
      <c r="F51" s="34" t="s">
        <v>45</v>
      </c>
      <c r="G51" s="35">
        <v>0</v>
      </c>
      <c r="H51" s="35"/>
      <c r="I51" s="36">
        <v>0.1</v>
      </c>
      <c r="J51" s="20"/>
      <c r="K51" s="15"/>
    </row>
    <row r="52" spans="1:11" x14ac:dyDescent="0.35">
      <c r="A52" s="20"/>
      <c r="B52" s="21"/>
      <c r="C52" s="21"/>
      <c r="D52" s="21"/>
      <c r="E52" s="21"/>
      <c r="F52" s="11"/>
      <c r="G52" s="15"/>
      <c r="H52" s="15"/>
      <c r="I52" s="37"/>
      <c r="J52" s="20"/>
      <c r="K52" s="15"/>
    </row>
    <row r="53" spans="1:11" x14ac:dyDescent="0.35">
      <c r="A53" s="32">
        <v>15</v>
      </c>
      <c r="B53" s="33"/>
      <c r="C53" s="33" t="s">
        <v>47</v>
      </c>
      <c r="D53" s="33"/>
      <c r="E53" s="33"/>
      <c r="F53" s="34" t="s">
        <v>45</v>
      </c>
      <c r="G53" s="38">
        <v>3913827058</v>
      </c>
      <c r="H53" s="39">
        <v>0.24990000000000001</v>
      </c>
      <c r="I53" s="40">
        <v>0.5</v>
      </c>
      <c r="J53" s="20"/>
      <c r="K53" s="15"/>
    </row>
    <row r="54" spans="1:11" x14ac:dyDescent="0.35">
      <c r="A54" s="20"/>
      <c r="B54" s="21"/>
      <c r="C54" s="21"/>
      <c r="D54" s="21"/>
      <c r="E54" s="21"/>
      <c r="F54" s="11"/>
      <c r="G54" s="15"/>
      <c r="H54" s="15"/>
      <c r="I54" s="14"/>
      <c r="J54" s="20"/>
      <c r="K54" s="15"/>
    </row>
    <row r="55" spans="1:11" ht="62" x14ac:dyDescent="0.35">
      <c r="A55" s="20">
        <v>16</v>
      </c>
      <c r="B55" s="21"/>
      <c r="C55" s="22" t="s">
        <v>49</v>
      </c>
      <c r="D55" s="21"/>
      <c r="E55" s="22" t="s">
        <v>50</v>
      </c>
      <c r="F55" s="11"/>
      <c r="G55" s="15">
        <v>0</v>
      </c>
      <c r="H55" s="15"/>
      <c r="I55" s="14"/>
      <c r="J55" s="20"/>
      <c r="K55" s="15"/>
    </row>
    <row r="56" spans="1:11" x14ac:dyDescent="0.35">
      <c r="A56" s="20"/>
      <c r="B56" s="21"/>
      <c r="C56" s="21"/>
      <c r="D56" s="21"/>
      <c r="E56" s="21"/>
      <c r="F56" s="11"/>
      <c r="G56" s="15"/>
      <c r="H56" s="15"/>
      <c r="I56" s="14"/>
      <c r="J56" s="20"/>
      <c r="K56" s="15"/>
    </row>
    <row r="57" spans="1:11" x14ac:dyDescent="0.35">
      <c r="A57" s="20">
        <v>17</v>
      </c>
      <c r="B57" s="21" t="s">
        <v>51</v>
      </c>
      <c r="C57" s="21" t="s">
        <v>52</v>
      </c>
      <c r="D57" s="21"/>
      <c r="E57" s="21"/>
      <c r="F57" s="11" t="s">
        <v>53</v>
      </c>
      <c r="G57" s="12">
        <v>738500129</v>
      </c>
      <c r="H57" s="26">
        <v>8.0000000000000004E-4</v>
      </c>
      <c r="I57" s="14">
        <v>0.01</v>
      </c>
      <c r="J57" s="20"/>
      <c r="K57" s="15"/>
    </row>
    <row r="58" spans="1:11" x14ac:dyDescent="0.35">
      <c r="A58" s="20"/>
      <c r="B58" s="21"/>
      <c r="C58" s="21"/>
      <c r="D58" s="21"/>
      <c r="E58" s="21"/>
      <c r="F58" s="11"/>
      <c r="G58" s="15"/>
      <c r="H58" s="15"/>
      <c r="I58" s="14"/>
      <c r="J58" s="20"/>
      <c r="K58" s="15"/>
    </row>
    <row r="59" spans="1:11" ht="46.5" x14ac:dyDescent="0.35">
      <c r="A59" s="20">
        <v>18</v>
      </c>
      <c r="B59" s="22" t="s">
        <v>54</v>
      </c>
      <c r="C59" s="22" t="s">
        <v>56</v>
      </c>
      <c r="D59" s="21"/>
      <c r="E59" s="21"/>
      <c r="F59" s="16" t="s">
        <v>55</v>
      </c>
      <c r="G59" s="12">
        <v>858693556</v>
      </c>
      <c r="H59" s="26">
        <v>8.9999999999999998E-4</v>
      </c>
      <c r="I59" s="13">
        <v>1.6000000000000001E-3</v>
      </c>
      <c r="J59" s="20"/>
      <c r="K59" s="15"/>
    </row>
    <row r="60" spans="1:11" x14ac:dyDescent="0.35">
      <c r="A60" s="20"/>
      <c r="B60" s="21"/>
      <c r="C60" s="21"/>
      <c r="D60" s="21"/>
      <c r="E60" s="21"/>
      <c r="F60" s="11"/>
      <c r="G60" s="15"/>
      <c r="H60" s="15"/>
      <c r="I60" s="14"/>
      <c r="J60" s="20"/>
      <c r="K60" s="15"/>
    </row>
    <row r="61" spans="1:11" ht="52.5" customHeight="1" x14ac:dyDescent="0.35">
      <c r="A61" s="20">
        <v>19</v>
      </c>
      <c r="B61" s="21" t="s">
        <v>57</v>
      </c>
      <c r="C61" s="22" t="s">
        <v>61</v>
      </c>
      <c r="D61" s="21"/>
      <c r="E61" s="21"/>
      <c r="F61" s="11" t="s">
        <v>58</v>
      </c>
      <c r="G61" s="29">
        <v>513628512</v>
      </c>
      <c r="H61" s="26">
        <v>5.0000000000000001E-4</v>
      </c>
      <c r="I61" s="41">
        <v>600000000</v>
      </c>
      <c r="J61" s="20" t="s">
        <v>72</v>
      </c>
      <c r="K61" s="28" t="s">
        <v>59</v>
      </c>
    </row>
    <row r="62" spans="1:11" x14ac:dyDescent="0.35">
      <c r="A62" s="20"/>
      <c r="B62" s="21"/>
      <c r="C62" s="21"/>
      <c r="D62" s="21"/>
      <c r="E62" s="21"/>
      <c r="F62" s="11"/>
      <c r="G62" s="15"/>
      <c r="H62" s="15"/>
      <c r="I62" s="13">
        <v>1.5E-3</v>
      </c>
      <c r="J62" s="20" t="s">
        <v>74</v>
      </c>
      <c r="K62" s="15"/>
    </row>
    <row r="63" spans="1:11" x14ac:dyDescent="0.35">
      <c r="A63" s="20"/>
      <c r="B63" s="21"/>
      <c r="C63" s="21"/>
      <c r="D63" s="21"/>
      <c r="E63" s="21"/>
      <c r="F63" s="11"/>
      <c r="G63" s="15"/>
      <c r="H63" s="15"/>
      <c r="I63" s="13"/>
      <c r="J63" s="15"/>
      <c r="K63" s="15"/>
    </row>
    <row r="64" spans="1:11" ht="31" x14ac:dyDescent="0.35">
      <c r="A64" s="20">
        <v>20</v>
      </c>
      <c r="B64" s="15"/>
      <c r="C64" s="22" t="s">
        <v>62</v>
      </c>
      <c r="D64" s="21"/>
      <c r="E64" s="21"/>
      <c r="F64" s="11"/>
      <c r="G64" s="24" t="s">
        <v>63</v>
      </c>
      <c r="H64" s="15"/>
      <c r="I64" s="14"/>
      <c r="J64" s="15"/>
      <c r="K64" s="15"/>
    </row>
    <row r="65" spans="1:11" ht="46.5" x14ac:dyDescent="0.35">
      <c r="A65" s="20">
        <v>21</v>
      </c>
      <c r="B65" s="15"/>
      <c r="C65" s="22" t="s">
        <v>64</v>
      </c>
      <c r="D65" s="21"/>
      <c r="E65" s="21"/>
      <c r="F65" s="11"/>
      <c r="G65" s="24" t="s">
        <v>65</v>
      </c>
      <c r="H65" s="15"/>
      <c r="I65" s="14"/>
      <c r="J65" s="15"/>
      <c r="K65" s="15"/>
    </row>
    <row r="66" spans="1:11" x14ac:dyDescent="0.35">
      <c r="G66" s="43"/>
    </row>
  </sheetData>
  <mergeCells count="1">
    <mergeCell ref="J19:J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518CE-2FF7-413E-A63F-3C97F93B23E0}">
  <dimension ref="A1:G13"/>
  <sheetViews>
    <sheetView zoomScale="54" zoomScaleNormal="54" workbookViewId="0">
      <selection activeCell="I23" sqref="I23"/>
    </sheetView>
  </sheetViews>
  <sheetFormatPr defaultRowHeight="14.5" x14ac:dyDescent="0.35"/>
  <cols>
    <col min="2" max="2" width="15" customWidth="1"/>
    <col min="3" max="3" width="31.08984375" customWidth="1"/>
    <col min="4" max="4" width="27.7265625" customWidth="1"/>
    <col min="5" max="5" width="20.54296875" customWidth="1"/>
    <col min="6" max="6" width="46" customWidth="1"/>
    <col min="7" max="9" width="23.90625" customWidth="1"/>
  </cols>
  <sheetData>
    <row r="1" spans="1:7" x14ac:dyDescent="0.35">
      <c r="A1" t="s">
        <v>0</v>
      </c>
    </row>
    <row r="2" spans="1:7" x14ac:dyDescent="0.35">
      <c r="A2">
        <v>2026</v>
      </c>
    </row>
    <row r="3" spans="1:7" x14ac:dyDescent="0.35">
      <c r="A3" s="1" t="s">
        <v>1</v>
      </c>
      <c r="B3" s="1" t="s">
        <v>12</v>
      </c>
      <c r="C3" s="1" t="s">
        <v>14</v>
      </c>
      <c r="D3" s="1" t="s">
        <v>15</v>
      </c>
      <c r="E3" s="1" t="s">
        <v>2</v>
      </c>
      <c r="F3" s="1" t="s">
        <v>4</v>
      </c>
      <c r="G3" s="1" t="s">
        <v>6</v>
      </c>
    </row>
    <row r="4" spans="1:7" s="8" customFormat="1" ht="17.5" customHeight="1" x14ac:dyDescent="0.35">
      <c r="A4" s="4">
        <v>1</v>
      </c>
      <c r="B4" s="5"/>
      <c r="C4" s="6"/>
      <c r="D4" s="6"/>
      <c r="E4" s="6"/>
      <c r="F4" s="5"/>
      <c r="G4" s="7"/>
    </row>
    <row r="5" spans="1:7" x14ac:dyDescent="0.35">
      <c r="A5" s="1"/>
      <c r="B5" s="1"/>
      <c r="C5" s="1"/>
      <c r="D5" s="1"/>
      <c r="E5" s="1"/>
      <c r="F5" s="3"/>
      <c r="G5" s="2"/>
    </row>
    <row r="6" spans="1:7" x14ac:dyDescent="0.35">
      <c r="A6" s="1"/>
      <c r="B6" s="1"/>
      <c r="C6" s="1"/>
      <c r="D6" s="1"/>
      <c r="E6" s="1"/>
      <c r="F6" s="3"/>
      <c r="G6" s="2"/>
    </row>
    <row r="7" spans="1:7" x14ac:dyDescent="0.35">
      <c r="A7" s="1"/>
      <c r="B7" s="1"/>
      <c r="C7" s="1"/>
      <c r="D7" s="1"/>
      <c r="E7" s="1"/>
      <c r="F7" s="3"/>
      <c r="G7" s="2"/>
    </row>
    <row r="8" spans="1:7" x14ac:dyDescent="0.35">
      <c r="A8" s="1"/>
      <c r="B8" s="1"/>
      <c r="C8" s="1"/>
      <c r="D8" s="1"/>
      <c r="E8" s="1"/>
      <c r="F8" s="3"/>
      <c r="G8" s="2"/>
    </row>
    <row r="9" spans="1:7" x14ac:dyDescent="0.35">
      <c r="A9" s="1"/>
      <c r="B9" s="1"/>
      <c r="C9" s="1"/>
      <c r="D9" s="1"/>
      <c r="E9" s="1"/>
      <c r="F9" s="3"/>
      <c r="G9" s="2"/>
    </row>
    <row r="10" spans="1:7" x14ac:dyDescent="0.35">
      <c r="A10" s="1"/>
      <c r="B10" s="1"/>
      <c r="C10" s="1"/>
      <c r="D10" s="1"/>
      <c r="E10" s="1"/>
      <c r="F10" s="1"/>
      <c r="G10" s="1"/>
    </row>
    <row r="11" spans="1:7" x14ac:dyDescent="0.35">
      <c r="A11" s="1"/>
      <c r="B11" s="1"/>
      <c r="C11" s="1"/>
      <c r="D11" s="1"/>
      <c r="E11" s="1"/>
      <c r="F11" s="1"/>
      <c r="G11" s="1"/>
    </row>
    <row r="12" spans="1:7" x14ac:dyDescent="0.35">
      <c r="A12" s="1"/>
      <c r="B12" s="1"/>
      <c r="C12" s="1"/>
      <c r="D12" s="1"/>
      <c r="E12" s="1"/>
      <c r="F12" s="1"/>
      <c r="G12" s="1"/>
    </row>
    <row r="13" spans="1:7" x14ac:dyDescent="0.35">
      <c r="A13" s="1"/>
      <c r="B13" s="1"/>
      <c r="C13" s="1"/>
      <c r="D13" s="1"/>
      <c r="E13" s="1"/>
      <c r="F13" s="1"/>
      <c r="G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MATRIKS 2026</vt:lpstr>
      <vt:lpstr>MATRIKS 2025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Vinny Putri</dc:creator>
  <cp:lastModifiedBy>Vinny Putri</cp:lastModifiedBy>
  <dcterms:created xsi:type="dcterms:W3CDTF">2026-05-13T07:48:41Z</dcterms:created>
  <dcterms:modified xsi:type="dcterms:W3CDTF">2026-05-20T09:10:47Z</dcterms:modified>
</cp:coreProperties>
</file>